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  <sheet state="visible" name="Hoja3" sheetId="3" r:id="rId6"/>
  </sheets>
  <definedNames/>
  <calcPr/>
</workbook>
</file>

<file path=xl/sharedStrings.xml><?xml version="1.0" encoding="utf-8"?>
<sst xmlns="http://schemas.openxmlformats.org/spreadsheetml/2006/main" count="176" uniqueCount="80">
  <si>
    <t>% ganancia</t>
  </si>
  <si>
    <t>Columna 1</t>
  </si>
  <si>
    <t>Columna 2</t>
  </si>
  <si>
    <t>Cost</t>
  </si>
  <si>
    <t>Valuable</t>
  </si>
  <si>
    <t>tax</t>
  </si>
  <si>
    <t xml:space="preserve"> final usd</t>
  </si>
  <si>
    <t>MX</t>
  </si>
  <si>
    <t>super mario mini luigui</t>
  </si>
  <si>
    <t>Web Squad</t>
  </si>
  <si>
    <t>Mario spin out kart</t>
  </si>
  <si>
    <t>potato 19 piezas</t>
  </si>
  <si>
    <t>dc blue</t>
  </si>
  <si>
    <t>figs avengers</t>
  </si>
  <si>
    <t>slimi spheres</t>
  </si>
  <si>
    <t>Spidey 4pk puzzle</t>
  </si>
  <si>
    <t>pop mickey &amp; minn</t>
  </si>
  <si>
    <t>fig spiderman</t>
  </si>
  <si>
    <t>figs avengers m c ame</t>
  </si>
  <si>
    <t>fig spiderman w</t>
  </si>
  <si>
    <t>Dsny moana2</t>
  </si>
  <si>
    <t>dc batman ninja robin</t>
  </si>
  <si>
    <t>premade slime</t>
  </si>
  <si>
    <t xml:space="preserve">cat metal 3pk conc </t>
  </si>
  <si>
    <t xml:space="preserve">furreal gogo </t>
  </si>
  <si>
    <t>Disney princess</t>
  </si>
  <si>
    <t>Playmates tmnt turtle</t>
  </si>
  <si>
    <t>Marvel fig Hulk</t>
  </si>
  <si>
    <t>Barbie dream</t>
  </si>
  <si>
    <t>dc 9.5 wonder woman</t>
  </si>
  <si>
    <t>reebok</t>
  </si>
  <si>
    <t>pet to ninja  donatello</t>
  </si>
  <si>
    <t>Maleta</t>
  </si>
  <si>
    <t>DBZ flash vegueta</t>
  </si>
  <si>
    <t>Pijama</t>
  </si>
  <si>
    <t>asst bottoms falda</t>
  </si>
  <si>
    <t>batman action fig</t>
  </si>
  <si>
    <t>Code</t>
  </si>
  <si>
    <t>Description</t>
  </si>
  <si>
    <t>Cost USD</t>
  </si>
  <si>
    <t>Cost MX</t>
  </si>
  <si>
    <t>figs avengers iroman</t>
  </si>
  <si>
    <t>fig spiderman w  Carros</t>
  </si>
  <si>
    <t>premade slime rosa</t>
  </si>
  <si>
    <t>Playmates tmnt turtle leonardo</t>
  </si>
  <si>
    <t>Cost USD Sell</t>
  </si>
  <si>
    <t>Cost MX Sell</t>
  </si>
  <si>
    <t>inversion pesos</t>
  </si>
  <si>
    <t>Esperado</t>
  </si>
  <si>
    <t>id</t>
  </si>
  <si>
    <t>nombre</t>
  </si>
  <si>
    <t>precio</t>
  </si>
  <si>
    <t>imagen</t>
  </si>
  <si>
    <t>descripcion</t>
  </si>
  <si>
    <t>tipo</t>
  </si>
  <si>
    <t>juguete</t>
  </si>
  <si>
    <t>Figura de colección, Spidey, Green Goblin, Doc Ock, Ghost spider</t>
  </si>
  <si>
    <t>Mario Kart</t>
  </si>
  <si>
    <t>Señor cara de papa</t>
  </si>
  <si>
    <t>Blue beetle</t>
  </si>
  <si>
    <t>Iron man</t>
  </si>
  <si>
    <t>Slime incluye un squishy</t>
  </si>
  <si>
    <t>Rompecabezas Marvel</t>
  </si>
  <si>
    <t>Spider man</t>
  </si>
  <si>
    <t>Capitan America</t>
  </si>
  <si>
    <t>Paquete de 20 autos</t>
  </si>
  <si>
    <t>Spider man mistery</t>
  </si>
  <si>
    <t>Disney Moana 2</t>
  </si>
  <si>
    <t>Robin Ninja DC</t>
  </si>
  <si>
    <t>Slime 400 gr</t>
  </si>
  <si>
    <t>Juguete de construccioón 3 unidades</t>
  </si>
  <si>
    <t>Perrito de peluche inteactivo</t>
  </si>
  <si>
    <t>Princesa de disney Ariel</t>
  </si>
  <si>
    <t>Tortuga Ninja Leonardo</t>
  </si>
  <si>
    <t>Figura de marvel, Hulk</t>
  </si>
  <si>
    <t>Barbie marca Matel</t>
  </si>
  <si>
    <t>Mujer maravilla DC</t>
  </si>
  <si>
    <t>Tortuja ninja Donatello</t>
  </si>
  <si>
    <t>Figura Dragon Ball Super Saiyan Vegeta</t>
  </si>
  <si>
    <t>Figura de Batman 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</si>
</sst>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4" xfId="0" applyFont="1" applyNumberFormat="1"/>
    <xf borderId="0" fillId="0" fontId="1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3" fontId="1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164" xfId="0" applyFont="1" applyNumberFormat="1"/>
    <xf borderId="0" fillId="4" fontId="1" numFmtId="164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164" xfId="0" applyAlignment="1" applyFont="1" applyNumberFormat="1">
      <alignment readingOrder="0"/>
    </xf>
    <xf borderId="0" fillId="5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Hoja 1-style">
      <tableStyleElement dxfId="1" type="firstRowStripe"/>
      <tableStyleElement dxfId="2" type="secondRowStripe"/>
    </tableStyle>
    <tableStyle count="2" pivot="0" name="Hoja 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36:I38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C38:I40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4" max="4" width="19.13"/>
    <col customWidth="1" min="7" max="7" width="16.5"/>
    <col customWidth="1" min="8" max="9" width="16.75"/>
  </cols>
  <sheetData>
    <row r="1">
      <c r="E1" s="1"/>
      <c r="F1" s="1"/>
    </row>
    <row r="2">
      <c r="E2" s="1"/>
      <c r="F2" s="1"/>
      <c r="H2" s="2" t="s">
        <v>0</v>
      </c>
      <c r="I2" s="2">
        <v>1.5</v>
      </c>
    </row>
    <row r="3">
      <c r="E3" s="1"/>
      <c r="F3" s="1"/>
    </row>
    <row r="4">
      <c r="C4" s="3" t="s">
        <v>1</v>
      </c>
      <c r="D4" s="3" t="s">
        <v>2</v>
      </c>
      <c r="E4" s="4" t="s">
        <v>3</v>
      </c>
      <c r="F4" s="4" t="s">
        <v>4</v>
      </c>
      <c r="G4" s="2" t="s">
        <v>5</v>
      </c>
      <c r="H4" s="3" t="s">
        <v>6</v>
      </c>
      <c r="I4" s="3" t="s">
        <v>7</v>
      </c>
    </row>
    <row r="5">
      <c r="C5" s="2">
        <v>54535.0</v>
      </c>
      <c r="D5" s="2" t="s">
        <v>8</v>
      </c>
      <c r="E5" s="4">
        <v>2.99</v>
      </c>
      <c r="F5" s="4">
        <v>7.0</v>
      </c>
      <c r="G5" s="5">
        <f t="shared" ref="G5:G35" si="1">E5*1.085</f>
        <v>3.24415</v>
      </c>
      <c r="H5" s="5">
        <f>G5*I2</f>
        <v>4.866225</v>
      </c>
      <c r="I5" s="5">
        <f t="shared" ref="I5:I35" si="2">H5*18</f>
        <v>87.59205</v>
      </c>
    </row>
    <row r="6">
      <c r="C6" s="2">
        <v>67887.0</v>
      </c>
      <c r="D6" s="2" t="s">
        <v>9</v>
      </c>
      <c r="E6" s="4">
        <v>14.99</v>
      </c>
      <c r="F6" s="4">
        <v>20.0</v>
      </c>
      <c r="G6" s="5">
        <f t="shared" si="1"/>
        <v>16.26415</v>
      </c>
      <c r="H6" s="5">
        <f>G6*I2</f>
        <v>24.396225</v>
      </c>
      <c r="I6" s="5">
        <f t="shared" si="2"/>
        <v>439.13205</v>
      </c>
    </row>
    <row r="7">
      <c r="C7" s="2">
        <v>91989.0</v>
      </c>
      <c r="D7" s="2" t="s">
        <v>10</v>
      </c>
      <c r="E7" s="4">
        <v>12.99</v>
      </c>
      <c r="F7" s="4">
        <v>18.0</v>
      </c>
      <c r="G7" s="5">
        <f t="shared" si="1"/>
        <v>14.09415</v>
      </c>
      <c r="H7" s="5">
        <f>G7*I2</f>
        <v>21.141225</v>
      </c>
      <c r="I7" s="5">
        <f t="shared" si="2"/>
        <v>380.54205</v>
      </c>
    </row>
    <row r="8">
      <c r="C8" s="2">
        <v>67764.0</v>
      </c>
      <c r="D8" s="2" t="s">
        <v>11</v>
      </c>
      <c r="E8" s="4">
        <v>5.99</v>
      </c>
      <c r="F8" s="4">
        <v>8.0</v>
      </c>
      <c r="G8" s="5">
        <f t="shared" si="1"/>
        <v>6.49915</v>
      </c>
      <c r="H8" s="5">
        <f>G8*I2</f>
        <v>9.748725</v>
      </c>
      <c r="I8" s="5">
        <f t="shared" si="2"/>
        <v>175.47705</v>
      </c>
    </row>
    <row r="9">
      <c r="C9" s="2">
        <v>80367.0</v>
      </c>
      <c r="D9" s="2" t="s">
        <v>12</v>
      </c>
      <c r="E9" s="4">
        <v>3.99</v>
      </c>
      <c r="F9" s="4">
        <v>22.0</v>
      </c>
      <c r="G9" s="5">
        <f t="shared" si="1"/>
        <v>4.32915</v>
      </c>
      <c r="H9" s="5">
        <f>G9*$I2</f>
        <v>6.493725</v>
      </c>
      <c r="I9" s="5">
        <f t="shared" si="2"/>
        <v>116.88705</v>
      </c>
    </row>
    <row r="10">
      <c r="C10" s="2">
        <v>71774.0</v>
      </c>
      <c r="D10" s="2" t="s">
        <v>13</v>
      </c>
      <c r="E10" s="4">
        <v>3.99</v>
      </c>
      <c r="F10" s="4">
        <v>9.0</v>
      </c>
      <c r="G10" s="5">
        <f t="shared" si="1"/>
        <v>4.32915</v>
      </c>
      <c r="H10" s="5">
        <f>G10*$I2</f>
        <v>6.493725</v>
      </c>
      <c r="I10" s="5">
        <f t="shared" si="2"/>
        <v>116.88705</v>
      </c>
    </row>
    <row r="11">
      <c r="C11" s="2">
        <v>72702.0</v>
      </c>
      <c r="D11" s="2" t="s">
        <v>14</v>
      </c>
      <c r="E11" s="4">
        <v>3.99</v>
      </c>
      <c r="F11" s="4">
        <v>0.0</v>
      </c>
      <c r="G11" s="5">
        <f t="shared" si="1"/>
        <v>4.32915</v>
      </c>
      <c r="H11" s="5">
        <f>G11*$I2</f>
        <v>6.493725</v>
      </c>
      <c r="I11" s="5">
        <f t="shared" si="2"/>
        <v>116.88705</v>
      </c>
    </row>
    <row r="12">
      <c r="C12" s="2">
        <v>6118.0</v>
      </c>
      <c r="D12" s="2" t="s">
        <v>15</v>
      </c>
      <c r="E12" s="4">
        <v>5.99</v>
      </c>
      <c r="F12" s="4">
        <v>10.0</v>
      </c>
      <c r="G12" s="5">
        <f t="shared" si="1"/>
        <v>6.49915</v>
      </c>
      <c r="H12" s="5">
        <f>G12*$I2</f>
        <v>9.748725</v>
      </c>
      <c r="I12" s="5">
        <f t="shared" si="2"/>
        <v>175.47705</v>
      </c>
    </row>
    <row r="13">
      <c r="C13" s="2">
        <v>53750.0</v>
      </c>
      <c r="D13" s="2" t="s">
        <v>16</v>
      </c>
      <c r="E13" s="4">
        <v>5.99</v>
      </c>
      <c r="F13" s="4">
        <v>12.0</v>
      </c>
      <c r="G13" s="5">
        <f t="shared" si="1"/>
        <v>6.49915</v>
      </c>
      <c r="H13" s="5">
        <f>G13*$I2</f>
        <v>9.748725</v>
      </c>
      <c r="I13" s="5">
        <f t="shared" si="2"/>
        <v>175.47705</v>
      </c>
    </row>
    <row r="14">
      <c r="C14" s="2">
        <v>71613.0</v>
      </c>
      <c r="D14" s="2" t="s">
        <v>17</v>
      </c>
      <c r="E14" s="4">
        <v>4.99</v>
      </c>
      <c r="F14" s="4">
        <v>10.0</v>
      </c>
      <c r="G14" s="5">
        <f t="shared" si="1"/>
        <v>5.41415</v>
      </c>
      <c r="H14" s="5">
        <f>G14*$I2</f>
        <v>8.121225</v>
      </c>
      <c r="I14" s="5">
        <f t="shared" si="2"/>
        <v>146.18205</v>
      </c>
    </row>
    <row r="15">
      <c r="C15" s="2">
        <v>71590.0</v>
      </c>
      <c r="D15" s="2" t="s">
        <v>18</v>
      </c>
      <c r="E15" s="4">
        <v>3.99</v>
      </c>
      <c r="F15" s="4">
        <v>9.0</v>
      </c>
      <c r="G15" s="5">
        <f t="shared" si="1"/>
        <v>4.32915</v>
      </c>
      <c r="H15" s="5">
        <f>G15*$I2</f>
        <v>6.493725</v>
      </c>
      <c r="I15" s="5">
        <f t="shared" si="2"/>
        <v>116.88705</v>
      </c>
    </row>
    <row r="16">
      <c r="C16" s="2">
        <v>71613.0</v>
      </c>
      <c r="D16" s="2" t="s">
        <v>19</v>
      </c>
      <c r="E16" s="4">
        <v>4.99</v>
      </c>
      <c r="F16" s="4">
        <v>10.0</v>
      </c>
      <c r="G16" s="5">
        <f t="shared" si="1"/>
        <v>5.41415</v>
      </c>
      <c r="H16" s="5">
        <f>G16*$I2</f>
        <v>8.121225</v>
      </c>
      <c r="I16" s="5">
        <f t="shared" si="2"/>
        <v>146.18205</v>
      </c>
    </row>
    <row r="17">
      <c r="C17" s="2">
        <v>71613.0</v>
      </c>
      <c r="D17" s="2" t="s">
        <v>19</v>
      </c>
      <c r="E17" s="4">
        <v>4.99</v>
      </c>
      <c r="F17" s="4">
        <v>10.0</v>
      </c>
      <c r="G17" s="5">
        <f t="shared" si="1"/>
        <v>5.41415</v>
      </c>
      <c r="H17" s="5">
        <f>G17*$I2</f>
        <v>8.121225</v>
      </c>
      <c r="I17" s="5">
        <f t="shared" si="2"/>
        <v>146.18205</v>
      </c>
    </row>
    <row r="18">
      <c r="C18" s="2">
        <v>5913.0</v>
      </c>
      <c r="D18" s="2" t="s">
        <v>15</v>
      </c>
      <c r="E18" s="4">
        <v>5.99</v>
      </c>
      <c r="F18" s="4">
        <v>10.0</v>
      </c>
      <c r="G18" s="5">
        <f t="shared" si="1"/>
        <v>6.49915</v>
      </c>
      <c r="H18" s="5">
        <f>G18*$I2</f>
        <v>9.748725</v>
      </c>
      <c r="I18" s="5">
        <f t="shared" si="2"/>
        <v>175.47705</v>
      </c>
    </row>
    <row r="19">
      <c r="C19" s="2">
        <v>17292.0</v>
      </c>
      <c r="D19" s="2" t="s">
        <v>20</v>
      </c>
      <c r="E19" s="4">
        <v>6.99</v>
      </c>
      <c r="F19" s="4">
        <v>10.0</v>
      </c>
      <c r="G19" s="5">
        <f t="shared" si="1"/>
        <v>7.58415</v>
      </c>
      <c r="H19" s="5">
        <f>G19*$I2</f>
        <v>11.376225</v>
      </c>
      <c r="I19" s="5">
        <f t="shared" si="2"/>
        <v>204.77205</v>
      </c>
    </row>
    <row r="20">
      <c r="C20" s="2">
        <v>80812.0</v>
      </c>
      <c r="D20" s="2" t="s">
        <v>21</v>
      </c>
      <c r="E20" s="4">
        <v>3.99</v>
      </c>
      <c r="F20" s="4">
        <v>8.0</v>
      </c>
      <c r="G20" s="5">
        <f t="shared" si="1"/>
        <v>4.32915</v>
      </c>
      <c r="H20" s="5">
        <f>G20*$I2</f>
        <v>6.493725</v>
      </c>
      <c r="I20" s="5">
        <f t="shared" si="2"/>
        <v>116.88705</v>
      </c>
    </row>
    <row r="21">
      <c r="C21" s="2">
        <v>18452.0</v>
      </c>
      <c r="D21" s="2" t="s">
        <v>22</v>
      </c>
      <c r="E21" s="4">
        <v>3.99</v>
      </c>
      <c r="F21" s="4">
        <v>6.0</v>
      </c>
      <c r="G21" s="5">
        <f t="shared" si="1"/>
        <v>4.32915</v>
      </c>
      <c r="H21" s="5">
        <f>G21*$I2</f>
        <v>6.493725</v>
      </c>
      <c r="I21" s="5">
        <f t="shared" si="2"/>
        <v>116.88705</v>
      </c>
    </row>
    <row r="22">
      <c r="C22" s="2">
        <v>76355.0</v>
      </c>
      <c r="D22" s="2" t="s">
        <v>23</v>
      </c>
      <c r="E22" s="4">
        <v>7.99</v>
      </c>
      <c r="F22" s="4">
        <v>13.0</v>
      </c>
      <c r="G22" s="5">
        <f t="shared" si="1"/>
        <v>8.66915</v>
      </c>
      <c r="H22" s="5">
        <f>G22*$I2</f>
        <v>13.003725</v>
      </c>
      <c r="I22" s="5">
        <f t="shared" si="2"/>
        <v>234.06705</v>
      </c>
    </row>
    <row r="23">
      <c r="C23" s="2">
        <v>23712.0</v>
      </c>
      <c r="D23" s="2" t="s">
        <v>24</v>
      </c>
      <c r="E23" s="4">
        <v>23.99</v>
      </c>
      <c r="F23" s="4">
        <v>30.0</v>
      </c>
      <c r="G23" s="5">
        <f t="shared" si="1"/>
        <v>26.02915</v>
      </c>
      <c r="H23" s="5">
        <f>G23*$I2</f>
        <v>39.043725</v>
      </c>
      <c r="I23" s="5">
        <f t="shared" si="2"/>
        <v>702.78705</v>
      </c>
    </row>
    <row r="24">
      <c r="C24" s="2">
        <v>76133.0</v>
      </c>
      <c r="D24" s="2" t="s">
        <v>25</v>
      </c>
      <c r="E24" s="4">
        <v>6.99</v>
      </c>
      <c r="F24" s="4">
        <v>9.0</v>
      </c>
      <c r="G24" s="5">
        <f t="shared" si="1"/>
        <v>7.58415</v>
      </c>
      <c r="H24" s="5">
        <f>G24*$I2</f>
        <v>11.376225</v>
      </c>
      <c r="I24" s="5">
        <f t="shared" si="2"/>
        <v>204.77205</v>
      </c>
    </row>
    <row r="25">
      <c r="C25" s="2">
        <v>16431.0</v>
      </c>
      <c r="D25" s="2" t="s">
        <v>26</v>
      </c>
      <c r="E25" s="4">
        <v>11.99</v>
      </c>
      <c r="F25" s="4">
        <v>19.0</v>
      </c>
      <c r="G25" s="5">
        <f t="shared" si="1"/>
        <v>13.00915</v>
      </c>
      <c r="H25" s="5">
        <f>G25*$I2</f>
        <v>19.513725</v>
      </c>
      <c r="I25" s="5">
        <f t="shared" si="2"/>
        <v>351.24705</v>
      </c>
    </row>
    <row r="26">
      <c r="C26" s="2">
        <v>60498.0</v>
      </c>
      <c r="D26" s="2" t="s">
        <v>27</v>
      </c>
      <c r="E26" s="4">
        <v>3.49</v>
      </c>
      <c r="F26" s="4">
        <v>0.0</v>
      </c>
      <c r="G26" s="5">
        <f t="shared" si="1"/>
        <v>3.78665</v>
      </c>
      <c r="H26" s="5">
        <f>G26*$I2</f>
        <v>5.679975</v>
      </c>
      <c r="I26" s="5">
        <f t="shared" si="2"/>
        <v>102.23955</v>
      </c>
    </row>
    <row r="27">
      <c r="C27" s="2">
        <v>74511.0</v>
      </c>
      <c r="D27" s="2" t="s">
        <v>28</v>
      </c>
      <c r="E27" s="4">
        <v>9.99</v>
      </c>
      <c r="F27" s="4">
        <v>9.99</v>
      </c>
      <c r="G27" s="5">
        <f t="shared" si="1"/>
        <v>10.83915</v>
      </c>
      <c r="H27" s="5">
        <f>G27*$I2</f>
        <v>16.258725</v>
      </c>
      <c r="I27" s="5">
        <f t="shared" si="2"/>
        <v>292.65705</v>
      </c>
    </row>
    <row r="28">
      <c r="C28" s="2">
        <v>80898.0</v>
      </c>
      <c r="D28" s="2" t="s">
        <v>29</v>
      </c>
      <c r="E28" s="4">
        <v>3.99</v>
      </c>
      <c r="F28" s="4">
        <v>8.0</v>
      </c>
      <c r="G28" s="5">
        <f t="shared" si="1"/>
        <v>4.32915</v>
      </c>
      <c r="H28" s="5">
        <f>G28*$I2</f>
        <v>6.493725</v>
      </c>
      <c r="I28" s="5">
        <f t="shared" si="2"/>
        <v>116.88705</v>
      </c>
    </row>
    <row r="29">
      <c r="C29" s="2">
        <v>55129.0</v>
      </c>
      <c r="D29" s="2" t="s">
        <v>30</v>
      </c>
      <c r="E29" s="4">
        <v>10.99</v>
      </c>
      <c r="F29" s="4">
        <v>10.99</v>
      </c>
      <c r="G29" s="5">
        <f t="shared" si="1"/>
        <v>11.92415</v>
      </c>
      <c r="H29" s="5">
        <f>G29*$I2</f>
        <v>17.886225</v>
      </c>
      <c r="I29" s="5">
        <f t="shared" si="2"/>
        <v>321.95205</v>
      </c>
    </row>
    <row r="30">
      <c r="C30" s="2">
        <v>81963.0</v>
      </c>
      <c r="D30" s="2" t="s">
        <v>31</v>
      </c>
      <c r="E30" s="4">
        <v>6.99</v>
      </c>
      <c r="F30" s="4">
        <v>13.0</v>
      </c>
      <c r="G30" s="5">
        <f t="shared" si="1"/>
        <v>7.58415</v>
      </c>
      <c r="H30" s="5">
        <f>G30*$I2</f>
        <v>11.376225</v>
      </c>
      <c r="I30" s="5">
        <f t="shared" si="2"/>
        <v>204.77205</v>
      </c>
    </row>
    <row r="31">
      <c r="C31" s="2">
        <v>80936.0</v>
      </c>
      <c r="D31" s="2" t="s">
        <v>32</v>
      </c>
      <c r="E31" s="4">
        <v>74.99</v>
      </c>
      <c r="F31" s="4">
        <v>74.99</v>
      </c>
      <c r="G31" s="5">
        <f t="shared" si="1"/>
        <v>81.36415</v>
      </c>
      <c r="H31" s="5">
        <f>G31*$I2</f>
        <v>122.046225</v>
      </c>
      <c r="I31" s="5">
        <f t="shared" si="2"/>
        <v>2196.83205</v>
      </c>
    </row>
    <row r="32">
      <c r="C32" s="2">
        <v>81261.0</v>
      </c>
      <c r="D32" s="2" t="s">
        <v>33</v>
      </c>
      <c r="E32" s="4">
        <v>4.99</v>
      </c>
      <c r="F32" s="4">
        <v>30.0</v>
      </c>
      <c r="G32" s="5">
        <f t="shared" si="1"/>
        <v>5.41415</v>
      </c>
      <c r="H32" s="5">
        <f>G32*$I2</f>
        <v>8.121225</v>
      </c>
      <c r="I32" s="5">
        <f t="shared" si="2"/>
        <v>146.18205</v>
      </c>
    </row>
    <row r="33">
      <c r="C33" s="2">
        <v>51530.0</v>
      </c>
      <c r="D33" s="2" t="s">
        <v>34</v>
      </c>
      <c r="E33" s="4">
        <v>21.99</v>
      </c>
      <c r="F33" s="4">
        <v>21.99</v>
      </c>
      <c r="G33" s="5">
        <f t="shared" si="1"/>
        <v>23.85915</v>
      </c>
      <c r="H33" s="5">
        <f>G33*$I2</f>
        <v>35.788725</v>
      </c>
      <c r="I33" s="5">
        <f t="shared" si="2"/>
        <v>644.19705</v>
      </c>
    </row>
    <row r="34">
      <c r="C34" s="2">
        <v>57390.0</v>
      </c>
      <c r="D34" s="2" t="s">
        <v>35</v>
      </c>
      <c r="E34" s="4">
        <v>8.99</v>
      </c>
      <c r="F34" s="4">
        <v>8.99</v>
      </c>
      <c r="G34" s="5">
        <f t="shared" si="1"/>
        <v>9.75415</v>
      </c>
      <c r="H34" s="5">
        <f>G34*$I2</f>
        <v>14.631225</v>
      </c>
      <c r="I34" s="5">
        <f t="shared" si="2"/>
        <v>263.36205</v>
      </c>
    </row>
    <row r="35">
      <c r="C35" s="2">
        <v>93541.0</v>
      </c>
      <c r="D35" s="2" t="s">
        <v>36</v>
      </c>
      <c r="E35" s="4">
        <v>7.99</v>
      </c>
      <c r="F35" s="4">
        <v>30.0</v>
      </c>
      <c r="G35" s="5">
        <f t="shared" si="1"/>
        <v>8.66915</v>
      </c>
      <c r="H35" s="5">
        <f>G35*$I2</f>
        <v>13.003725</v>
      </c>
      <c r="I35" s="5">
        <f t="shared" si="2"/>
        <v>234.06705</v>
      </c>
    </row>
    <row r="36">
      <c r="E36" s="4"/>
      <c r="F36" s="4"/>
      <c r="G36" s="5"/>
      <c r="H36" s="5"/>
      <c r="I36" s="5"/>
    </row>
    <row r="37">
      <c r="C37" s="6"/>
      <c r="D37" s="6"/>
      <c r="E37" s="7"/>
      <c r="F37" s="7"/>
      <c r="G37" s="8">
        <f>SUM('Hoja 1'!$G$5:$G$35)</f>
        <v>332.21615</v>
      </c>
      <c r="H37" s="8">
        <f>SUM('Hoja 1'!$H$5:$H$35)</f>
        <v>498.324225</v>
      </c>
      <c r="I37" s="8">
        <f>SUM('Hoja 1'!$I$5:$I$35)</f>
        <v>8969.83605</v>
      </c>
    </row>
    <row r="38">
      <c r="C38" s="6"/>
      <c r="D38" s="6"/>
      <c r="E38" s="7"/>
      <c r="F38" s="7"/>
      <c r="G38" s="8">
        <f>G37*18</f>
        <v>5979.8907</v>
      </c>
      <c r="H38" s="6"/>
      <c r="I38" s="6"/>
    </row>
    <row r="39">
      <c r="E39" s="1"/>
      <c r="F39" s="1"/>
    </row>
    <row r="40">
      <c r="E40" s="1"/>
      <c r="F40" s="1"/>
    </row>
    <row r="41">
      <c r="E41" s="1"/>
      <c r="F41" s="1"/>
      <c r="H41" s="5">
        <f>I37-G38</f>
        <v>2989.94535</v>
      </c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  <row r="997">
      <c r="E997" s="1"/>
      <c r="F997" s="1"/>
    </row>
    <row r="998">
      <c r="E998" s="1"/>
      <c r="F998" s="1"/>
    </row>
    <row r="999">
      <c r="E999" s="1"/>
      <c r="F999" s="1"/>
    </row>
    <row r="1000">
      <c r="E1000" s="1"/>
      <c r="F1000" s="1"/>
    </row>
    <row r="1001">
      <c r="E1001" s="1"/>
      <c r="F1001" s="1"/>
    </row>
    <row r="1002">
      <c r="E1002" s="1"/>
      <c r="F1002" s="1"/>
    </row>
    <row r="1003">
      <c r="E1003" s="1"/>
      <c r="F1003" s="1"/>
    </row>
    <row r="1004">
      <c r="E1004" s="1"/>
      <c r="F1004" s="1"/>
    </row>
    <row r="1005">
      <c r="E1005" s="1"/>
      <c r="F1005" s="1"/>
    </row>
    <row r="1006">
      <c r="E1006" s="1"/>
      <c r="F1006" s="1"/>
    </row>
    <row r="1007">
      <c r="E1007" s="1"/>
      <c r="F1007" s="1"/>
    </row>
    <row r="1008">
      <c r="E1008" s="1"/>
      <c r="F1008" s="1"/>
    </row>
    <row r="1009">
      <c r="E1009" s="1"/>
      <c r="F1009" s="1"/>
    </row>
    <row r="1010">
      <c r="E1010" s="1"/>
      <c r="F1010" s="1"/>
    </row>
    <row r="1011">
      <c r="E1011" s="1"/>
      <c r="F1011" s="1"/>
    </row>
    <row r="1012">
      <c r="E1012" s="1"/>
      <c r="F1012" s="1"/>
    </row>
    <row r="1013">
      <c r="E1013" s="1"/>
      <c r="F1013" s="1"/>
    </row>
    <row r="1014">
      <c r="E1014" s="1"/>
      <c r="F1014" s="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75"/>
  </cols>
  <sheetData>
    <row r="3">
      <c r="E3" s="1"/>
      <c r="F3" s="1"/>
      <c r="H3" s="2" t="s">
        <v>0</v>
      </c>
      <c r="I3" s="2">
        <v>1.9</v>
      </c>
    </row>
    <row r="4">
      <c r="E4" s="1"/>
      <c r="F4" s="1"/>
    </row>
    <row r="5">
      <c r="C5" s="2" t="s">
        <v>37</v>
      </c>
      <c r="D5" s="2" t="s">
        <v>38</v>
      </c>
      <c r="E5" s="4" t="s">
        <v>3</v>
      </c>
      <c r="F5" s="4" t="s">
        <v>4</v>
      </c>
      <c r="G5" s="2" t="s">
        <v>5</v>
      </c>
      <c r="H5" s="2" t="s">
        <v>39</v>
      </c>
      <c r="I5" s="2" t="s">
        <v>40</v>
      </c>
    </row>
    <row r="6">
      <c r="C6" s="9">
        <v>54535.0</v>
      </c>
      <c r="D6" s="9" t="s">
        <v>8</v>
      </c>
      <c r="E6" s="10">
        <v>2.99</v>
      </c>
      <c r="F6" s="10">
        <v>7.0</v>
      </c>
      <c r="G6" s="11">
        <f t="shared" ref="G6:G31" si="1">E6*1.085</f>
        <v>3.24415</v>
      </c>
      <c r="H6" s="11">
        <f>G6*I3</f>
        <v>6.163885</v>
      </c>
      <c r="I6" s="11">
        <f t="shared" ref="I6:I13" si="2">H6*18</f>
        <v>110.94993</v>
      </c>
    </row>
    <row r="7">
      <c r="C7" s="9">
        <v>67887.0</v>
      </c>
      <c r="D7" s="9" t="s">
        <v>9</v>
      </c>
      <c r="E7" s="10">
        <v>14.99</v>
      </c>
      <c r="F7" s="10">
        <v>20.0</v>
      </c>
      <c r="G7" s="11">
        <f t="shared" si="1"/>
        <v>16.26415</v>
      </c>
      <c r="H7" s="11">
        <f>G7*I3</f>
        <v>30.901885</v>
      </c>
      <c r="I7" s="11">
        <f t="shared" si="2"/>
        <v>556.23393</v>
      </c>
    </row>
    <row r="8">
      <c r="C8" s="9">
        <v>91989.0</v>
      </c>
      <c r="D8" s="9" t="s">
        <v>10</v>
      </c>
      <c r="E8" s="10">
        <v>12.99</v>
      </c>
      <c r="F8" s="10">
        <v>18.0</v>
      </c>
      <c r="G8" s="11">
        <f t="shared" si="1"/>
        <v>14.09415</v>
      </c>
      <c r="H8" s="11">
        <f>G8*I3</f>
        <v>26.778885</v>
      </c>
      <c r="I8" s="11">
        <f t="shared" si="2"/>
        <v>482.01993</v>
      </c>
    </row>
    <row r="9">
      <c r="C9" s="9">
        <v>67764.0</v>
      </c>
      <c r="D9" s="9" t="s">
        <v>11</v>
      </c>
      <c r="E9" s="10">
        <v>5.99</v>
      </c>
      <c r="F9" s="10">
        <v>8.0</v>
      </c>
      <c r="G9" s="11">
        <f t="shared" si="1"/>
        <v>6.49915</v>
      </c>
      <c r="H9" s="11">
        <f>G9*I3</f>
        <v>12.348385</v>
      </c>
      <c r="I9" s="11">
        <f t="shared" si="2"/>
        <v>222.27093</v>
      </c>
    </row>
    <row r="10">
      <c r="C10" s="9">
        <v>80367.0</v>
      </c>
      <c r="D10" s="9" t="s">
        <v>12</v>
      </c>
      <c r="E10" s="10">
        <v>3.99</v>
      </c>
      <c r="F10" s="10">
        <v>22.0</v>
      </c>
      <c r="G10" s="11">
        <f t="shared" si="1"/>
        <v>4.32915</v>
      </c>
      <c r="H10" s="11">
        <f>G10*$I3</f>
        <v>8.225385</v>
      </c>
      <c r="I10" s="11">
        <f t="shared" si="2"/>
        <v>148.05693</v>
      </c>
    </row>
    <row r="11">
      <c r="C11" s="9">
        <v>71774.0</v>
      </c>
      <c r="D11" s="9" t="s">
        <v>41</v>
      </c>
      <c r="E11" s="10">
        <v>3.99</v>
      </c>
      <c r="F11" s="10">
        <v>9.0</v>
      </c>
      <c r="G11" s="11">
        <f t="shared" si="1"/>
        <v>4.32915</v>
      </c>
      <c r="H11" s="11">
        <f>G11*$I3</f>
        <v>8.225385</v>
      </c>
      <c r="I11" s="11">
        <f t="shared" si="2"/>
        <v>148.05693</v>
      </c>
    </row>
    <row r="12">
      <c r="C12" s="9">
        <v>72702.0</v>
      </c>
      <c r="D12" s="9" t="s">
        <v>14</v>
      </c>
      <c r="E12" s="10">
        <v>3.99</v>
      </c>
      <c r="F12" s="10">
        <v>0.0</v>
      </c>
      <c r="G12" s="11">
        <f t="shared" si="1"/>
        <v>4.32915</v>
      </c>
      <c r="H12" s="11">
        <f>G12*$I3</f>
        <v>8.225385</v>
      </c>
      <c r="I12" s="11">
        <f t="shared" si="2"/>
        <v>148.05693</v>
      </c>
    </row>
    <row r="13">
      <c r="C13" s="9">
        <v>6118.0</v>
      </c>
      <c r="D13" s="9" t="s">
        <v>15</v>
      </c>
      <c r="E13" s="10">
        <v>5.99</v>
      </c>
      <c r="F13" s="10">
        <v>10.0</v>
      </c>
      <c r="G13" s="11">
        <f t="shared" si="1"/>
        <v>6.49915</v>
      </c>
      <c r="H13" s="11">
        <f>G13*$I3</f>
        <v>12.348385</v>
      </c>
      <c r="I13" s="11">
        <f t="shared" si="2"/>
        <v>222.27093</v>
      </c>
    </row>
    <row r="14">
      <c r="C14" s="2">
        <v>53750.0</v>
      </c>
      <c r="D14" s="2" t="s">
        <v>16</v>
      </c>
      <c r="E14" s="4">
        <v>5.99</v>
      </c>
      <c r="F14" s="4">
        <v>12.0</v>
      </c>
      <c r="G14" s="5">
        <f t="shared" si="1"/>
        <v>6.49915</v>
      </c>
      <c r="H14" s="5">
        <f>G14*$I3</f>
        <v>12.348385</v>
      </c>
      <c r="I14" s="12">
        <v>0.0</v>
      </c>
      <c r="J14" s="5">
        <f>H14*18</f>
        <v>222.27093</v>
      </c>
    </row>
    <row r="15">
      <c r="C15" s="9">
        <v>71613.0</v>
      </c>
      <c r="D15" s="9" t="s">
        <v>17</v>
      </c>
      <c r="E15" s="10">
        <v>4.99</v>
      </c>
      <c r="F15" s="10">
        <v>10.0</v>
      </c>
      <c r="G15" s="11">
        <f t="shared" si="1"/>
        <v>5.41415</v>
      </c>
      <c r="H15" s="11">
        <f>G15*$I3</f>
        <v>10.286885</v>
      </c>
      <c r="I15" s="11">
        <f t="shared" ref="I15:I16" si="3">H15*18</f>
        <v>185.16393</v>
      </c>
    </row>
    <row r="16">
      <c r="C16" s="9">
        <v>71590.0</v>
      </c>
      <c r="D16" s="9" t="s">
        <v>18</v>
      </c>
      <c r="E16" s="10">
        <v>3.99</v>
      </c>
      <c r="F16" s="10">
        <v>9.0</v>
      </c>
      <c r="G16" s="11">
        <f t="shared" si="1"/>
        <v>4.32915</v>
      </c>
      <c r="H16" s="11">
        <f>G16*$I3</f>
        <v>8.225385</v>
      </c>
      <c r="I16" s="11">
        <f t="shared" si="3"/>
        <v>148.05693</v>
      </c>
    </row>
    <row r="17">
      <c r="C17" s="13">
        <v>71613.0</v>
      </c>
      <c r="D17" s="13" t="s">
        <v>42</v>
      </c>
      <c r="E17" s="14">
        <v>4.99</v>
      </c>
      <c r="F17" s="14">
        <v>10.0</v>
      </c>
      <c r="G17" s="15">
        <f t="shared" si="1"/>
        <v>5.41415</v>
      </c>
      <c r="H17" s="15">
        <f>G17*$I3</f>
        <v>10.286885</v>
      </c>
      <c r="I17" s="16">
        <v>400.0</v>
      </c>
    </row>
    <row r="18">
      <c r="C18" s="9">
        <v>71613.0</v>
      </c>
      <c r="D18" s="9" t="s">
        <v>19</v>
      </c>
      <c r="E18" s="10">
        <v>4.99</v>
      </c>
      <c r="F18" s="10">
        <v>10.0</v>
      </c>
      <c r="G18" s="11">
        <f t="shared" si="1"/>
        <v>5.41415</v>
      </c>
      <c r="H18" s="11">
        <f>G18*$I3</f>
        <v>10.286885</v>
      </c>
      <c r="I18" s="11">
        <f t="shared" ref="I18:I29" si="4">H18*18</f>
        <v>185.16393</v>
      </c>
    </row>
    <row r="19">
      <c r="C19" s="9">
        <v>5913.0</v>
      </c>
      <c r="D19" s="9" t="s">
        <v>15</v>
      </c>
      <c r="E19" s="10">
        <v>5.99</v>
      </c>
      <c r="F19" s="10">
        <v>10.0</v>
      </c>
      <c r="G19" s="11">
        <f t="shared" si="1"/>
        <v>6.49915</v>
      </c>
      <c r="H19" s="11">
        <f>G19*$I3</f>
        <v>12.348385</v>
      </c>
      <c r="I19" s="11">
        <f t="shared" si="4"/>
        <v>222.27093</v>
      </c>
    </row>
    <row r="20">
      <c r="C20" s="9">
        <v>17292.0</v>
      </c>
      <c r="D20" s="9" t="s">
        <v>20</v>
      </c>
      <c r="E20" s="10">
        <v>6.99</v>
      </c>
      <c r="F20" s="10">
        <v>10.0</v>
      </c>
      <c r="G20" s="11">
        <f t="shared" si="1"/>
        <v>7.58415</v>
      </c>
      <c r="H20" s="11">
        <f>G20*$I3</f>
        <v>14.409885</v>
      </c>
      <c r="I20" s="11">
        <f t="shared" si="4"/>
        <v>259.37793</v>
      </c>
    </row>
    <row r="21">
      <c r="C21" s="9">
        <v>80812.0</v>
      </c>
      <c r="D21" s="9" t="s">
        <v>21</v>
      </c>
      <c r="E21" s="10">
        <v>3.99</v>
      </c>
      <c r="F21" s="10">
        <v>8.0</v>
      </c>
      <c r="G21" s="11">
        <f t="shared" si="1"/>
        <v>4.32915</v>
      </c>
      <c r="H21" s="11">
        <f>G21*$I3</f>
        <v>8.225385</v>
      </c>
      <c r="I21" s="11">
        <f t="shared" si="4"/>
        <v>148.05693</v>
      </c>
    </row>
    <row r="22">
      <c r="C22" s="9">
        <v>18452.0</v>
      </c>
      <c r="D22" s="9" t="s">
        <v>43</v>
      </c>
      <c r="E22" s="10">
        <v>3.99</v>
      </c>
      <c r="F22" s="10">
        <v>6.0</v>
      </c>
      <c r="G22" s="11">
        <f t="shared" si="1"/>
        <v>4.32915</v>
      </c>
      <c r="H22" s="11">
        <f>G22*$I3</f>
        <v>8.225385</v>
      </c>
      <c r="I22" s="11">
        <f t="shared" si="4"/>
        <v>148.05693</v>
      </c>
    </row>
    <row r="23">
      <c r="C23" s="9">
        <v>76355.0</v>
      </c>
      <c r="D23" s="9" t="s">
        <v>23</v>
      </c>
      <c r="E23" s="10">
        <v>7.99</v>
      </c>
      <c r="F23" s="10">
        <v>13.0</v>
      </c>
      <c r="G23" s="11">
        <f t="shared" si="1"/>
        <v>8.66915</v>
      </c>
      <c r="H23" s="11">
        <f>G23*$I3</f>
        <v>16.471385</v>
      </c>
      <c r="I23" s="11">
        <f t="shared" si="4"/>
        <v>296.48493</v>
      </c>
    </row>
    <row r="24">
      <c r="C24" s="9">
        <v>23712.0</v>
      </c>
      <c r="D24" s="9" t="s">
        <v>24</v>
      </c>
      <c r="E24" s="10">
        <v>23.99</v>
      </c>
      <c r="F24" s="10">
        <v>30.0</v>
      </c>
      <c r="G24" s="11">
        <f t="shared" si="1"/>
        <v>26.02915</v>
      </c>
      <c r="H24" s="11">
        <f>G24*$I3</f>
        <v>49.455385</v>
      </c>
      <c r="I24" s="11">
        <f t="shared" si="4"/>
        <v>890.19693</v>
      </c>
    </row>
    <row r="25">
      <c r="C25" s="9">
        <v>76133.0</v>
      </c>
      <c r="D25" s="9" t="s">
        <v>25</v>
      </c>
      <c r="E25" s="10">
        <v>6.99</v>
      </c>
      <c r="F25" s="10">
        <v>9.0</v>
      </c>
      <c r="G25" s="11">
        <f t="shared" si="1"/>
        <v>7.58415</v>
      </c>
      <c r="H25" s="11">
        <f>G25*$I3</f>
        <v>14.409885</v>
      </c>
      <c r="I25" s="11">
        <f t="shared" si="4"/>
        <v>259.37793</v>
      </c>
    </row>
    <row r="26">
      <c r="C26" s="9">
        <v>16431.0</v>
      </c>
      <c r="D26" s="9" t="s">
        <v>44</v>
      </c>
      <c r="E26" s="10">
        <v>11.99</v>
      </c>
      <c r="F26" s="10">
        <v>19.0</v>
      </c>
      <c r="G26" s="11">
        <f t="shared" si="1"/>
        <v>13.00915</v>
      </c>
      <c r="H26" s="11">
        <f>G26*$I3</f>
        <v>24.717385</v>
      </c>
      <c r="I26" s="11">
        <f t="shared" si="4"/>
        <v>444.91293</v>
      </c>
    </row>
    <row r="27">
      <c r="C27" s="9">
        <v>60498.0</v>
      </c>
      <c r="D27" s="9" t="s">
        <v>27</v>
      </c>
      <c r="E27" s="10">
        <v>3.49</v>
      </c>
      <c r="F27" s="10">
        <v>0.0</v>
      </c>
      <c r="G27" s="11">
        <f t="shared" si="1"/>
        <v>3.78665</v>
      </c>
      <c r="H27" s="11">
        <f>G27*$I3</f>
        <v>7.194635</v>
      </c>
      <c r="I27" s="11">
        <f t="shared" si="4"/>
        <v>129.50343</v>
      </c>
    </row>
    <row r="28">
      <c r="C28" s="9">
        <v>74511.0</v>
      </c>
      <c r="D28" s="9" t="s">
        <v>28</v>
      </c>
      <c r="E28" s="10">
        <v>9.99</v>
      </c>
      <c r="F28" s="10">
        <v>9.99</v>
      </c>
      <c r="G28" s="11">
        <f t="shared" si="1"/>
        <v>10.83915</v>
      </c>
      <c r="H28" s="11">
        <f>G28*$I3</f>
        <v>20.594385</v>
      </c>
      <c r="I28" s="11">
        <f t="shared" si="4"/>
        <v>370.69893</v>
      </c>
    </row>
    <row r="29">
      <c r="C29" s="9">
        <v>80898.0</v>
      </c>
      <c r="D29" s="9" t="s">
        <v>29</v>
      </c>
      <c r="E29" s="10">
        <v>3.99</v>
      </c>
      <c r="F29" s="10">
        <v>8.0</v>
      </c>
      <c r="G29" s="11">
        <f t="shared" si="1"/>
        <v>4.32915</v>
      </c>
      <c r="H29" s="11">
        <f>G29*$I3</f>
        <v>8.225385</v>
      </c>
      <c r="I29" s="11">
        <f t="shared" si="4"/>
        <v>148.05693</v>
      </c>
    </row>
    <row r="30">
      <c r="C30" s="17">
        <v>55129.0</v>
      </c>
      <c r="D30" s="17" t="s">
        <v>30</v>
      </c>
      <c r="E30" s="18">
        <v>10.99</v>
      </c>
      <c r="F30" s="18">
        <v>10.99</v>
      </c>
      <c r="G30" s="19">
        <f t="shared" si="1"/>
        <v>11.92415</v>
      </c>
      <c r="H30" s="19">
        <f>G30*$I3</f>
        <v>22.655885</v>
      </c>
      <c r="I30" s="20">
        <v>0.0</v>
      </c>
      <c r="J30" s="19">
        <f>H30*18</f>
        <v>407.80593</v>
      </c>
    </row>
    <row r="31">
      <c r="C31" s="9">
        <v>81963.0</v>
      </c>
      <c r="D31" s="9" t="s">
        <v>31</v>
      </c>
      <c r="E31" s="10">
        <v>6.99</v>
      </c>
      <c r="F31" s="10">
        <v>13.0</v>
      </c>
      <c r="G31" s="11">
        <f t="shared" si="1"/>
        <v>7.58415</v>
      </c>
      <c r="H31" s="11">
        <f>G31*$I3</f>
        <v>14.409885</v>
      </c>
      <c r="I31" s="11">
        <f t="shared" ref="I31:I36" si="5">H31*18</f>
        <v>259.37793</v>
      </c>
    </row>
    <row r="32">
      <c r="C32" s="21">
        <v>80936.0</v>
      </c>
      <c r="D32" s="21" t="s">
        <v>32</v>
      </c>
      <c r="E32" s="22">
        <v>0.0</v>
      </c>
      <c r="F32" s="22">
        <v>0.0</v>
      </c>
      <c r="G32" s="23">
        <v>0.0</v>
      </c>
      <c r="H32" s="24">
        <f>G32*$I3</f>
        <v>0</v>
      </c>
      <c r="I32" s="24">
        <f t="shared" si="5"/>
        <v>0</v>
      </c>
    </row>
    <row r="33">
      <c r="C33" s="9">
        <v>81261.0</v>
      </c>
      <c r="D33" s="9" t="s">
        <v>33</v>
      </c>
      <c r="E33" s="10">
        <v>4.99</v>
      </c>
      <c r="F33" s="10">
        <v>30.0</v>
      </c>
      <c r="G33" s="11">
        <f t="shared" ref="G33:G34" si="6">E33*1.085</f>
        <v>5.41415</v>
      </c>
      <c r="H33" s="11">
        <f>G33*$I3</f>
        <v>10.286885</v>
      </c>
      <c r="I33" s="11">
        <f t="shared" si="5"/>
        <v>185.16393</v>
      </c>
    </row>
    <row r="34">
      <c r="C34" s="21">
        <v>51530.0</v>
      </c>
      <c r="D34" s="21" t="s">
        <v>34</v>
      </c>
      <c r="E34" s="22">
        <v>0.0</v>
      </c>
      <c r="F34" s="22">
        <v>0.0</v>
      </c>
      <c r="G34" s="24">
        <f t="shared" si="6"/>
        <v>0</v>
      </c>
      <c r="H34" s="24">
        <f>G34*$I3</f>
        <v>0</v>
      </c>
      <c r="I34" s="24">
        <f t="shared" si="5"/>
        <v>0</v>
      </c>
    </row>
    <row r="35">
      <c r="C35" s="17">
        <v>57390.0</v>
      </c>
      <c r="D35" s="17" t="s">
        <v>35</v>
      </c>
      <c r="E35" s="18">
        <v>0.0</v>
      </c>
      <c r="F35" s="18">
        <v>0.0</v>
      </c>
      <c r="G35" s="20">
        <v>0.0</v>
      </c>
      <c r="H35" s="19">
        <f>G35*$I3</f>
        <v>0</v>
      </c>
      <c r="I35" s="19">
        <f t="shared" si="5"/>
        <v>0</v>
      </c>
    </row>
    <row r="36">
      <c r="C36" s="9">
        <v>93541.0</v>
      </c>
      <c r="D36" s="9" t="s">
        <v>36</v>
      </c>
      <c r="E36" s="10">
        <v>7.99</v>
      </c>
      <c r="F36" s="10">
        <v>30.0</v>
      </c>
      <c r="G36" s="11">
        <f>E36*1.085</f>
        <v>8.66915</v>
      </c>
      <c r="H36" s="11">
        <f>G36*$I3</f>
        <v>16.471385</v>
      </c>
      <c r="I36" s="11">
        <f t="shared" si="5"/>
        <v>296.48493</v>
      </c>
    </row>
    <row r="37">
      <c r="C37" s="2"/>
      <c r="D37" s="2"/>
      <c r="E37" s="4"/>
      <c r="F37" s="4"/>
      <c r="G37" s="5"/>
      <c r="H37" s="5"/>
      <c r="I37" s="5"/>
    </row>
    <row r="38">
      <c r="E38" s="4"/>
      <c r="F38" s="4"/>
      <c r="G38" s="12" t="s">
        <v>39</v>
      </c>
      <c r="H38" s="12" t="s">
        <v>45</v>
      </c>
      <c r="I38" s="12" t="s">
        <v>46</v>
      </c>
    </row>
    <row r="39">
      <c r="C39" s="6"/>
      <c r="D39" s="6"/>
      <c r="E39" s="7"/>
      <c r="F39" s="7"/>
      <c r="G39" s="8">
        <f t="shared" ref="G39:I39" si="7">SUM(G6:G36)</f>
        <v>217.2387</v>
      </c>
      <c r="H39" s="8">
        <f t="shared" si="7"/>
        <v>412.75353</v>
      </c>
      <c r="I39" s="8">
        <f t="shared" si="7"/>
        <v>7014.32275</v>
      </c>
    </row>
    <row r="40">
      <c r="C40" s="6"/>
      <c r="D40" s="6"/>
      <c r="E40" s="7"/>
      <c r="F40" s="7"/>
      <c r="G40" s="25"/>
      <c r="H40" s="6"/>
      <c r="I40" s="6"/>
    </row>
    <row r="41">
      <c r="E41" s="1"/>
      <c r="F41" s="1"/>
    </row>
    <row r="42">
      <c r="E42" s="1"/>
      <c r="F42" s="4" t="s">
        <v>47</v>
      </c>
      <c r="H42" s="2" t="s">
        <v>48</v>
      </c>
    </row>
    <row r="43">
      <c r="E43" s="1"/>
      <c r="F43" s="1">
        <f>G39*18</f>
        <v>3910.2966</v>
      </c>
      <c r="H43" s="5">
        <f>I39-F43</f>
        <v>3104.02615</v>
      </c>
    </row>
    <row r="44">
      <c r="E44" s="1"/>
      <c r="F44" s="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63"/>
  </cols>
  <sheetData>
    <row r="3"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</row>
    <row r="4">
      <c r="C4" s="9">
        <v>54535.0</v>
      </c>
      <c r="D4" s="9" t="s">
        <v>8</v>
      </c>
      <c r="E4" s="2">
        <v>110.0</v>
      </c>
      <c r="F4" s="2" t="str">
        <f t="shared" ref="F4:F34" si="1">C4&amp;"_"&amp;E4&amp;".jpg"</f>
        <v>54535_110.jpg</v>
      </c>
      <c r="H4" s="2" t="s">
        <v>55</v>
      </c>
    </row>
    <row r="5">
      <c r="C5" s="9">
        <v>67887.0</v>
      </c>
      <c r="D5" s="9" t="s">
        <v>9</v>
      </c>
      <c r="E5" s="2">
        <v>560.0</v>
      </c>
      <c r="F5" s="2" t="str">
        <f t="shared" si="1"/>
        <v>67887_560.jpg</v>
      </c>
      <c r="G5" s="2" t="s">
        <v>56</v>
      </c>
      <c r="H5" s="2" t="s">
        <v>55</v>
      </c>
    </row>
    <row r="6">
      <c r="C6" s="9">
        <v>91989.0</v>
      </c>
      <c r="D6" s="9" t="s">
        <v>10</v>
      </c>
      <c r="E6" s="2">
        <v>485.0</v>
      </c>
      <c r="F6" s="2" t="str">
        <f t="shared" si="1"/>
        <v>91989_485.jpg</v>
      </c>
      <c r="G6" s="2" t="s">
        <v>57</v>
      </c>
      <c r="H6" s="2" t="s">
        <v>55</v>
      </c>
    </row>
    <row r="7">
      <c r="C7" s="9">
        <v>67764.0</v>
      </c>
      <c r="D7" s="9" t="s">
        <v>11</v>
      </c>
      <c r="E7" s="2">
        <v>250.0</v>
      </c>
      <c r="F7" s="2" t="str">
        <f t="shared" si="1"/>
        <v>67764_250.jpg</v>
      </c>
      <c r="G7" s="2" t="s">
        <v>58</v>
      </c>
      <c r="H7" s="2" t="s">
        <v>55</v>
      </c>
    </row>
    <row r="8">
      <c r="C8" s="9">
        <v>80367.0</v>
      </c>
      <c r="D8" s="9" t="s">
        <v>12</v>
      </c>
      <c r="E8" s="2">
        <v>150.0</v>
      </c>
      <c r="F8" s="2" t="str">
        <f t="shared" si="1"/>
        <v>80367_150.jpg</v>
      </c>
      <c r="G8" s="2" t="s">
        <v>59</v>
      </c>
      <c r="H8" s="2" t="s">
        <v>55</v>
      </c>
    </row>
    <row r="9">
      <c r="C9" s="9">
        <v>71774.0</v>
      </c>
      <c r="D9" s="9" t="s">
        <v>41</v>
      </c>
      <c r="E9" s="2">
        <v>150.0</v>
      </c>
      <c r="F9" s="2" t="str">
        <f t="shared" si="1"/>
        <v>71774_150.jpg</v>
      </c>
      <c r="G9" s="2" t="s">
        <v>60</v>
      </c>
      <c r="H9" s="2" t="s">
        <v>55</v>
      </c>
    </row>
    <row r="10">
      <c r="C10" s="9">
        <v>72702.0</v>
      </c>
      <c r="D10" s="9" t="s">
        <v>14</v>
      </c>
      <c r="E10" s="2">
        <v>149.0</v>
      </c>
      <c r="F10" s="2" t="str">
        <f t="shared" si="1"/>
        <v>72702_149.jpg</v>
      </c>
      <c r="G10" s="2" t="s">
        <v>61</v>
      </c>
      <c r="H10" s="2" t="s">
        <v>55</v>
      </c>
    </row>
    <row r="11">
      <c r="C11" s="9">
        <v>6118.0</v>
      </c>
      <c r="D11" s="9" t="s">
        <v>15</v>
      </c>
      <c r="E11" s="2">
        <v>249.0</v>
      </c>
      <c r="F11" s="2" t="str">
        <f t="shared" si="1"/>
        <v>6118_249.jpg</v>
      </c>
      <c r="G11" s="2" t="s">
        <v>62</v>
      </c>
      <c r="H11" s="2" t="s">
        <v>55</v>
      </c>
    </row>
    <row r="12">
      <c r="C12" s="2">
        <v>53750.0</v>
      </c>
      <c r="D12" s="2" t="s">
        <v>16</v>
      </c>
      <c r="F12" s="2" t="str">
        <f t="shared" si="1"/>
        <v>53750_.jpg</v>
      </c>
      <c r="H12" s="2" t="s">
        <v>55</v>
      </c>
    </row>
    <row r="13">
      <c r="C13" s="9">
        <v>71613.0</v>
      </c>
      <c r="D13" s="9" t="s">
        <v>17</v>
      </c>
      <c r="E13" s="2">
        <v>185.0</v>
      </c>
      <c r="F13" s="2" t="str">
        <f t="shared" si="1"/>
        <v>71613_185.jpg</v>
      </c>
      <c r="G13" s="2" t="s">
        <v>63</v>
      </c>
      <c r="H13" s="2" t="s">
        <v>55</v>
      </c>
    </row>
    <row r="14">
      <c r="C14" s="9">
        <v>71590.0</v>
      </c>
      <c r="D14" s="9" t="s">
        <v>18</v>
      </c>
      <c r="E14" s="2">
        <v>185.0</v>
      </c>
      <c r="F14" s="2" t="str">
        <f t="shared" si="1"/>
        <v>71590_185.jpg</v>
      </c>
      <c r="G14" s="2" t="s">
        <v>64</v>
      </c>
      <c r="H14" s="2" t="s">
        <v>55</v>
      </c>
    </row>
    <row r="15">
      <c r="C15" s="13"/>
      <c r="D15" s="13" t="s">
        <v>42</v>
      </c>
      <c r="E15" s="2">
        <v>400.0</v>
      </c>
      <c r="F15" s="2" t="str">
        <f t="shared" si="1"/>
        <v>_400.jpg</v>
      </c>
      <c r="G15" s="2" t="s">
        <v>65</v>
      </c>
      <c r="H15" s="2" t="s">
        <v>55</v>
      </c>
    </row>
    <row r="16">
      <c r="C16" s="9">
        <v>71613.0</v>
      </c>
      <c r="D16" s="9" t="s">
        <v>19</v>
      </c>
      <c r="E16" s="2">
        <v>180.0</v>
      </c>
      <c r="F16" s="2" t="str">
        <f t="shared" si="1"/>
        <v>71613_180.jpg</v>
      </c>
      <c r="G16" s="2" t="s">
        <v>66</v>
      </c>
      <c r="H16" s="2" t="s">
        <v>55</v>
      </c>
    </row>
    <row r="17">
      <c r="C17" s="9">
        <v>5913.0</v>
      </c>
      <c r="D17" s="9" t="s">
        <v>15</v>
      </c>
      <c r="E17" s="2">
        <v>249.0</v>
      </c>
      <c r="F17" s="2" t="str">
        <f t="shared" si="1"/>
        <v>5913_249.jpg</v>
      </c>
      <c r="G17" s="2" t="s">
        <v>62</v>
      </c>
      <c r="H17" s="2" t="s">
        <v>55</v>
      </c>
    </row>
    <row r="18">
      <c r="C18" s="9">
        <v>17292.0</v>
      </c>
      <c r="D18" s="9" t="s">
        <v>20</v>
      </c>
      <c r="E18" s="2">
        <v>259.0</v>
      </c>
      <c r="F18" s="2" t="str">
        <f t="shared" si="1"/>
        <v>17292_259.jpg</v>
      </c>
      <c r="G18" s="2" t="s">
        <v>67</v>
      </c>
      <c r="H18" s="2" t="s">
        <v>55</v>
      </c>
    </row>
    <row r="19">
      <c r="C19" s="9">
        <v>80812.0</v>
      </c>
      <c r="D19" s="9" t="s">
        <v>21</v>
      </c>
      <c r="E19" s="2">
        <v>180.0</v>
      </c>
      <c r="F19" s="2" t="str">
        <f t="shared" si="1"/>
        <v>80812_180.jpg</v>
      </c>
      <c r="G19" s="2" t="s">
        <v>68</v>
      </c>
      <c r="H19" s="2" t="s">
        <v>55</v>
      </c>
    </row>
    <row r="20">
      <c r="C20" s="9">
        <v>18452.0</v>
      </c>
      <c r="D20" s="9" t="s">
        <v>43</v>
      </c>
      <c r="E20" s="2">
        <v>150.0</v>
      </c>
      <c r="F20" s="2" t="str">
        <f t="shared" si="1"/>
        <v>18452_150.jpg</v>
      </c>
      <c r="G20" s="2" t="s">
        <v>69</v>
      </c>
      <c r="H20" s="2" t="s">
        <v>55</v>
      </c>
    </row>
    <row r="21">
      <c r="C21" s="9">
        <v>76355.0</v>
      </c>
      <c r="D21" s="9" t="s">
        <v>23</v>
      </c>
      <c r="E21" s="2">
        <v>298.0</v>
      </c>
      <c r="F21" s="2" t="str">
        <f t="shared" si="1"/>
        <v>76355_298.jpg</v>
      </c>
      <c r="G21" s="2" t="s">
        <v>70</v>
      </c>
      <c r="H21" s="2" t="s">
        <v>55</v>
      </c>
    </row>
    <row r="22">
      <c r="C22" s="9">
        <v>23712.0</v>
      </c>
      <c r="D22" s="9" t="s">
        <v>24</v>
      </c>
      <c r="E22" s="2">
        <v>890.0</v>
      </c>
      <c r="F22" s="2" t="str">
        <f t="shared" si="1"/>
        <v>23712_890.jpg</v>
      </c>
      <c r="G22" s="2" t="s">
        <v>71</v>
      </c>
      <c r="H22" s="2" t="s">
        <v>55</v>
      </c>
    </row>
    <row r="23">
      <c r="C23" s="9">
        <v>76133.0</v>
      </c>
      <c r="D23" s="9" t="s">
        <v>25</v>
      </c>
      <c r="E23" s="2">
        <v>260.0</v>
      </c>
      <c r="F23" s="2" t="str">
        <f t="shared" si="1"/>
        <v>76133_260.jpg</v>
      </c>
      <c r="G23" s="2" t="s">
        <v>72</v>
      </c>
      <c r="H23" s="2" t="s">
        <v>55</v>
      </c>
    </row>
    <row r="24">
      <c r="C24" s="9">
        <v>16431.0</v>
      </c>
      <c r="D24" s="9" t="s">
        <v>44</v>
      </c>
      <c r="E24" s="2">
        <v>450.0</v>
      </c>
      <c r="F24" s="2" t="str">
        <f t="shared" si="1"/>
        <v>16431_450.jpg</v>
      </c>
      <c r="G24" s="2" t="s">
        <v>73</v>
      </c>
      <c r="H24" s="2" t="s">
        <v>55</v>
      </c>
    </row>
    <row r="25">
      <c r="C25" s="9">
        <v>60498.0</v>
      </c>
      <c r="D25" s="9" t="s">
        <v>27</v>
      </c>
      <c r="E25" s="2">
        <v>185.0</v>
      </c>
      <c r="F25" s="2" t="str">
        <f t="shared" si="1"/>
        <v>60498_185.jpg</v>
      </c>
      <c r="G25" s="2" t="s">
        <v>74</v>
      </c>
      <c r="H25" s="2" t="s">
        <v>55</v>
      </c>
    </row>
    <row r="26">
      <c r="C26" s="9">
        <v>74511.0</v>
      </c>
      <c r="D26" s="9" t="s">
        <v>28</v>
      </c>
      <c r="E26" s="2">
        <v>370.0</v>
      </c>
      <c r="F26" s="2" t="str">
        <f t="shared" si="1"/>
        <v>74511_370.jpg</v>
      </c>
      <c r="G26" s="2" t="s">
        <v>75</v>
      </c>
      <c r="H26" s="2" t="s">
        <v>55</v>
      </c>
    </row>
    <row r="27">
      <c r="C27" s="9">
        <v>80898.0</v>
      </c>
      <c r="D27" s="9" t="s">
        <v>29</v>
      </c>
      <c r="E27" s="2">
        <v>160.0</v>
      </c>
      <c r="F27" s="2" t="str">
        <f t="shared" si="1"/>
        <v>80898_160.jpg</v>
      </c>
      <c r="G27" s="2" t="s">
        <v>76</v>
      </c>
      <c r="H27" s="2" t="s">
        <v>55</v>
      </c>
    </row>
    <row r="28">
      <c r="C28" s="17">
        <v>55129.0</v>
      </c>
      <c r="D28" s="17" t="s">
        <v>30</v>
      </c>
      <c r="F28" s="2" t="str">
        <f t="shared" si="1"/>
        <v>55129_.jpg</v>
      </c>
      <c r="H28" s="2" t="s">
        <v>55</v>
      </c>
    </row>
    <row r="29">
      <c r="C29" s="9">
        <v>81963.0</v>
      </c>
      <c r="D29" s="9" t="s">
        <v>31</v>
      </c>
      <c r="E29" s="2">
        <v>350.0</v>
      </c>
      <c r="F29" s="2" t="str">
        <f t="shared" si="1"/>
        <v>81963_350.jpg</v>
      </c>
      <c r="G29" s="2" t="s">
        <v>77</v>
      </c>
      <c r="H29" s="2" t="s">
        <v>55</v>
      </c>
    </row>
    <row r="30">
      <c r="C30" s="21">
        <v>80936.0</v>
      </c>
      <c r="D30" s="21" t="s">
        <v>32</v>
      </c>
      <c r="F30" s="2" t="str">
        <f t="shared" si="1"/>
        <v>80936_.jpg</v>
      </c>
      <c r="H30" s="2" t="s">
        <v>55</v>
      </c>
    </row>
    <row r="31">
      <c r="C31" s="9">
        <v>81261.0</v>
      </c>
      <c r="D31" s="9" t="s">
        <v>33</v>
      </c>
      <c r="E31" s="2">
        <v>180.0</v>
      </c>
      <c r="F31" s="2" t="str">
        <f t="shared" si="1"/>
        <v>81261_180.jpg</v>
      </c>
      <c r="G31" s="2" t="s">
        <v>78</v>
      </c>
      <c r="H31" s="2" t="s">
        <v>55</v>
      </c>
    </row>
    <row r="32">
      <c r="C32" s="21">
        <v>51530.0</v>
      </c>
      <c r="D32" s="21" t="s">
        <v>34</v>
      </c>
      <c r="F32" s="2" t="str">
        <f t="shared" si="1"/>
        <v>51530_.jpg</v>
      </c>
      <c r="H32" s="2" t="s">
        <v>55</v>
      </c>
    </row>
    <row r="33">
      <c r="C33" s="17">
        <v>57390.0</v>
      </c>
      <c r="D33" s="17" t="s">
        <v>35</v>
      </c>
      <c r="F33" s="2" t="str">
        <f t="shared" si="1"/>
        <v>57390_.jpg</v>
      </c>
      <c r="H33" s="2" t="s">
        <v>55</v>
      </c>
    </row>
    <row r="34">
      <c r="C34" s="9">
        <v>93541.0</v>
      </c>
      <c r="D34" s="9" t="s">
        <v>36</v>
      </c>
      <c r="E34" s="2">
        <v>296.0</v>
      </c>
      <c r="F34" s="2" t="str">
        <f t="shared" si="1"/>
        <v>93541_296.jpg</v>
      </c>
      <c r="G34" s="2" t="s">
        <v>79</v>
      </c>
      <c r="H34" s="2" t="s">
        <v>55</v>
      </c>
    </row>
  </sheetData>
  <drawing r:id="rId1"/>
</worksheet>
</file>